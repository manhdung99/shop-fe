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n pham" sheetId="1" state="visible" r:id="rId3"/>
    <sheet name="Huong dan" sheetId="2" state="visible" r:id="rId4"/>
  </sheets>
  <definedNames>
    <definedName function="false" hidden="true" localSheetId="0" name="_xlnm._FilterDatabase" vbProcedure="false">'San pham'!$A$1:$P$1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<sst xmlns="http://schemas.openxmlformats.org/spreadsheetml/2006/main" count="200" uniqueCount="143">
  <si>
    <t xml:space="preserve">name</t>
  </si>
  <si>
    <t xml:space="preserve">brand</t>
  </si>
  <si>
    <t xml:space="preserve">category</t>
  </si>
  <si>
    <t xml:space="preserve">price</t>
  </si>
  <si>
    <t xml:space="preserve">originalPrice</t>
  </si>
  <si>
    <t xml:space="preserve">stock</t>
  </si>
  <si>
    <t xml:space="preserve">description</t>
  </si>
  <si>
    <t xml:space="preserve">isNew</t>
  </si>
  <si>
    <t xml:space="preserve">isSale</t>
  </si>
  <si>
    <t xml:space="preserve">sizes</t>
  </si>
  <si>
    <t xml:space="preserve">color1</t>
  </si>
  <si>
    <t xml:space="preserve">imageUrl1</t>
  </si>
  <si>
    <t xml:space="preserve">color2</t>
  </si>
  <si>
    <t xml:space="preserve">imageUrl2</t>
  </si>
  <si>
    <t xml:space="preserve">color3</t>
  </si>
  <si>
    <t xml:space="preserve">imageUrl3</t>
  </si>
  <si>
    <t xml:space="preserve">Nike Air Max 270</t>
  </si>
  <si>
    <t xml:space="preserve">Nike</t>
  </si>
  <si>
    <t xml:space="preserve">men</t>
  </si>
  <si>
    <t xml:space="preserve">Giày thể thao nam Nike Air Max 270 với đệm khí Max ở gót, thoải mái suốt cả ngày.</t>
  </si>
  <si>
    <t xml:space="preserve">39,40,41,42,43</t>
  </si>
  <si>
    <t xml:space="preserve">Đen</t>
  </si>
  <si>
    <t xml:space="preserve">https://images.unsplash.com/photo-1542291026-7eec264c27ff?w=600&amp;q=80</t>
  </si>
  <si>
    <t xml:space="preserve">Trắng</t>
  </si>
  <si>
    <t xml:space="preserve">https://images.unsplash.com/photo-1549298916-b41d501d3772?w=600&amp;q=80</t>
  </si>
  <si>
    <t xml:space="preserve">Đỏ</t>
  </si>
  <si>
    <t xml:space="preserve">https://images.unsplash.com/photo-1606107557195-0e29a4b5b4aa?w=600&amp;q=80</t>
  </si>
  <si>
    <t xml:space="preserve">Adidas Ultraboost 22</t>
  </si>
  <si>
    <t xml:space="preserve">Adidas</t>
  </si>
  <si>
    <t xml:space="preserve">Giày chạy bộ nam Adidas Ultraboost 22 với công nghệ Boost cho cảm giác đàn hồi vượt trội.</t>
  </si>
  <si>
    <t xml:space="preserve">40,41,42,43,44</t>
  </si>
  <si>
    <t xml:space="preserve">Xanh Navy</t>
  </si>
  <si>
    <t xml:space="preserve">https://images.unsplash.com/photo-1608231387042-66d1773070a5?w=600&amp;q=80</t>
  </si>
  <si>
    <t xml:space="preserve">Xám</t>
  </si>
  <si>
    <t xml:space="preserve">https://images.unsplash.com/photo-1539185441755-769473a23570?w=600&amp;q=80</t>
  </si>
  <si>
    <t xml:space="preserve">Nike Air Force 1</t>
  </si>
  <si>
    <t xml:space="preserve">unisex</t>
  </si>
  <si>
    <t xml:space="preserve">Giày sneaker cổ điển Nike Air Force 1, thiết kế timeless phù hợp mọi phong cách.</t>
  </si>
  <si>
    <t xml:space="preserve">36,37,38,39,40,41,42</t>
  </si>
  <si>
    <t xml:space="preserve">https://images.unsplash.com/photo-1600269452121-4f2416e55c28?w=600&amp;q=80</t>
  </si>
  <si>
    <t xml:space="preserve">https://images.unsplash.com/photo-1543508282-6319a3e2621f?w=600&amp;q=80</t>
  </si>
  <si>
    <t xml:space="preserve">Converse Chuck Taylor All Star</t>
  </si>
  <si>
    <t xml:space="preserve">Converse</t>
  </si>
  <si>
    <t xml:space="preserve">Giày canvas cổ điển Converse Chuck Taylor All Star, biểu tượng thời trang đường phố.</t>
  </si>
  <si>
    <t xml:space="preserve">35,36,37,38,39,40,41,42</t>
  </si>
  <si>
    <t xml:space="preserve">https://images.unsplash.com/photo-1525966222134-fcfa99b8ae77?w=600&amp;q=80</t>
  </si>
  <si>
    <t xml:space="preserve">Navy</t>
  </si>
  <si>
    <t xml:space="preserve">https://images.unsplash.com/photo-1494496195158-c3becb4f2475?w=600&amp;q=80</t>
  </si>
  <si>
    <t xml:space="preserve">https://images.unsplash.com/photo-1463100099107-aa0980c362e6?w=600&amp;q=80</t>
  </si>
  <si>
    <t xml:space="preserve">Puma RS-X</t>
  </si>
  <si>
    <t xml:space="preserve">Puma</t>
  </si>
  <si>
    <t xml:space="preserve">Giày chunky sneaker Puma RS-X với đế dày nổi bật, phong cách retro hiện đại.</t>
  </si>
  <si>
    <t xml:space="preserve">Xanh Dương</t>
  </si>
  <si>
    <t xml:space="preserve">https://images.unsplash.com/photo-1608379743498-63a4e9600edb?w=600&amp;q=80</t>
  </si>
  <si>
    <t xml:space="preserve">Vàng</t>
  </si>
  <si>
    <t xml:space="preserve">https://images.unsplash.com/photo-1579338559194-a162d19bf842?w=600&amp;q=80</t>
  </si>
  <si>
    <t xml:space="preserve">New Balance 574</t>
  </si>
  <si>
    <t xml:space="preserve">New Balance</t>
  </si>
  <si>
    <t xml:space="preserve">women</t>
  </si>
  <si>
    <t xml:space="preserve">Giày sneaker nữ New Balance 574, thiết kế retro êm ái phù hợp đi hàng ngày.</t>
  </si>
  <si>
    <t xml:space="preserve">35,36,37,38,39,40</t>
  </si>
  <si>
    <t xml:space="preserve">Hồng</t>
  </si>
  <si>
    <t xml:space="preserve">https://images.unsplash.com/photo-1600185365926-3a2ce3cdb9eb?w=600&amp;q=80</t>
  </si>
  <si>
    <t xml:space="preserve">Xanh Mint</t>
  </si>
  <si>
    <t xml:space="preserve">https://images.unsplash.com/photo-1595950653106-6c9ebd614d3a?w=600&amp;q=80</t>
  </si>
  <si>
    <t xml:space="preserve">Vans Old Skool</t>
  </si>
  <si>
    <t xml:space="preserve">Vans</t>
  </si>
  <si>
    <t xml:space="preserve">Giày skate huyền thoại Vans Old Skool với sọc bên đặc trưng, bền bỉ và phong cách.</t>
  </si>
  <si>
    <t xml:space="preserve">36,37,38,39,40,41,42,43</t>
  </si>
  <si>
    <t xml:space="preserve">Đen/Trắng</t>
  </si>
  <si>
    <t xml:space="preserve">https://images.unsplash.com/photo-1534438327276-14e5300c3a48?w=600&amp;q=80</t>
  </si>
  <si>
    <t xml:space="preserve">Navy/Trắng</t>
  </si>
  <si>
    <t xml:space="preserve">https://images.unsplash.com/photo-1512374382149-233c42b6a83b?w=600&amp;q=80</t>
  </si>
  <si>
    <t xml:space="preserve">Adidas Stan Smith</t>
  </si>
  <si>
    <t xml:space="preserve">Giày tennis cổ điển Adidas Stan Smith, thiết kế tối giản thanh lịch dễ phối đồ.</t>
  </si>
  <si>
    <t xml:space="preserve">Trắng/Xanh</t>
  </si>
  <si>
    <t xml:space="preserve">https://images.unsplash.com/photo-1560769629-975ec94e6a86?w=600&amp;q=80</t>
  </si>
  <si>
    <t xml:space="preserve">Trắng/Hồng</t>
  </si>
  <si>
    <t xml:space="preserve">Nike React Infinity Run</t>
  </si>
  <si>
    <t xml:space="preserve">Giày chạy bộ nữ Nike React Infinity Run giảm nguy cơ chấn thương với đệm React.</t>
  </si>
  <si>
    <t xml:space="preserve">Tím</t>
  </si>
  <si>
    <t xml:space="preserve">https://images.unsplash.com/photo-1518002171953-a080ee817e1f?w=600&amp;q=80</t>
  </si>
  <si>
    <t xml:space="preserve">Xanh Lá</t>
  </si>
  <si>
    <t xml:space="preserve">https://images.unsplash.com/photo-1491553895911-0055eca6402d?w=600&amp;q=80</t>
  </si>
  <si>
    <t xml:space="preserve">Reebok Classic Leather</t>
  </si>
  <si>
    <t xml:space="preserve">Reebok</t>
  </si>
  <si>
    <t xml:space="preserve">Giày da cổ điển Reebok Classic Leather, phong cách retro 80s tinh tế và lịch sự.</t>
  </si>
  <si>
    <t xml:space="preserve">https://images.unsplash.com/photo-1556906781-9a412961d28e?w=600&amp;q=80</t>
  </si>
  <si>
    <t xml:space="preserve">Be</t>
  </si>
  <si>
    <t xml:space="preserve">https://images.unsplash.com/photo-1515955656352-a1fa3ffcd111?w=600&amp;q=80</t>
  </si>
  <si>
    <t xml:space="preserve">CỘT</t>
  </si>
  <si>
    <t xml:space="preserve">TÊN CỘT</t>
  </si>
  <si>
    <t xml:space="preserve">MÔ TẢ</t>
  </si>
  <si>
    <t xml:space="preserve">VÍ DỤ</t>
  </si>
  <si>
    <t xml:space="preserve">BẮT BUỘC</t>
  </si>
  <si>
    <t xml:space="preserve">A</t>
  </si>
  <si>
    <t xml:space="preserve">Tên sản phẩm</t>
  </si>
  <si>
    <t xml:space="preserve">Có</t>
  </si>
  <si>
    <t xml:space="preserve">B</t>
  </si>
  <si>
    <t xml:space="preserve">Thương hiệu</t>
  </si>
  <si>
    <t xml:space="preserve">C</t>
  </si>
  <si>
    <t xml:space="preserve">Danh mục: men / women / unisex / kids</t>
  </si>
  <si>
    <t xml:space="preserve">D</t>
  </si>
  <si>
    <t xml:space="preserve">Giá bán (VNĐ)</t>
  </si>
  <si>
    <t xml:space="preserve">3200000</t>
  </si>
  <si>
    <t xml:space="preserve">E</t>
  </si>
  <si>
    <t xml:space="preserve">Giá gốc trước khi sale (để trống nếu không sale)</t>
  </si>
  <si>
    <t xml:space="preserve">3800000</t>
  </si>
  <si>
    <t xml:space="preserve">Không</t>
  </si>
  <si>
    <t xml:space="preserve">F</t>
  </si>
  <si>
    <t xml:space="preserve">Số lượng tồn kho</t>
  </si>
  <si>
    <t xml:space="preserve">50</t>
  </si>
  <si>
    <t xml:space="preserve">G</t>
  </si>
  <si>
    <t xml:space="preserve">Mô tả sản phẩm</t>
  </si>
  <si>
    <t xml:space="preserve">Giày thể thao...</t>
  </si>
  <si>
    <t xml:space="preserve">H</t>
  </si>
  <si>
    <t xml:space="preserve">Hàng mới về: true hoặc false</t>
  </si>
  <si>
    <t xml:space="preserve">true</t>
  </si>
  <si>
    <t xml:space="preserve">I</t>
  </si>
  <si>
    <t xml:space="preserve">Đang giảm giá: true hoặc false</t>
  </si>
  <si>
    <t xml:space="preserve">false</t>
  </si>
  <si>
    <t xml:space="preserve">J</t>
  </si>
  <si>
    <t xml:space="preserve">Các size cách nhau dấu phẩy</t>
  </si>
  <si>
    <t xml:space="preserve">38,39,40,41</t>
  </si>
  <si>
    <t xml:space="preserve">K</t>
  </si>
  <si>
    <t xml:space="preserve">Tên màu sắc thứ 1</t>
  </si>
  <si>
    <t xml:space="preserve">Có ít nhất 1</t>
  </si>
  <si>
    <t xml:space="preserve">L</t>
  </si>
  <si>
    <t xml:space="preserve">URL ảnh cho màu thứ 1</t>
  </si>
  <si>
    <t xml:space="preserve">https://...</t>
  </si>
  <si>
    <t xml:space="preserve">M</t>
  </si>
  <si>
    <t xml:space="preserve">Tên màu sắc thứ 2 (tuỳ chọn)</t>
  </si>
  <si>
    <t xml:space="preserve">N</t>
  </si>
  <si>
    <t xml:space="preserve">URL ảnh cho màu thứ 2</t>
  </si>
  <si>
    <t xml:space="preserve">O</t>
  </si>
  <si>
    <t xml:space="preserve">Tên màu sắc thứ 3 (tuỳ chọn)</t>
  </si>
  <si>
    <t xml:space="preserve">P</t>
  </si>
  <si>
    <t xml:space="preserve">URL ảnh cho màu thứ 3</t>
  </si>
  <si>
    <t xml:space="preserve">LƯU Ý:</t>
  </si>
  <si>
    <t xml:space="preserve">- Dòng 1 là tiêu đề, không xóa hoặc sửa tên cột</t>
  </si>
  <si>
    <t xml:space="preserve">- Có thể thêm màu thứ 4, 5... bằng cách thêm cột Q/R, S/T...</t>
  </si>
  <si>
    <t xml:space="preserve">- Nếu không có ảnh, hệ thống sẽ dùng ảnh placeholder tự động</t>
  </si>
  <si>
    <t xml:space="preserve">- Upload file tại: Admin → Sản phẩm → Import Excel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</si>
</sst>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9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DC2626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2937"/>
        <bgColor rgb="FF333300"/>
      </patternFill>
    </fill>
    <fill>
      <patternFill patternType="solid">
        <fgColor rgb="FFF9FAFB"/>
        <bgColor rgb="FFFFFFFF"/>
      </patternFill>
    </fill>
    <fill>
      <patternFill patternType="solid">
        <fgColor rgb="FFFFFFFF"/>
        <bgColor rgb="FFF9FAFB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9FAFB"/>
      <rgbColor rgb="FFCCFFFF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5"/>
    <col collapsed="false" customWidth="true" hidden="false" outlineLevel="0" max="3" min="3" style="0" width="10"/>
    <col collapsed="false" customWidth="true" hidden="false" outlineLevel="0" max="5" min="4" style="0" width="14"/>
    <col collapsed="false" customWidth="true" hidden="false" outlineLevel="0" max="6" min="6" style="0" width="8"/>
    <col collapsed="false" customWidth="true" hidden="false" outlineLevel="0" max="7" min="7" style="0" width="45"/>
    <col collapsed="false" customWidth="true" hidden="false" outlineLevel="0" max="9" min="8" style="0" width="8"/>
    <col collapsed="false" customWidth="true" hidden="false" outlineLevel="0" max="10" min="10" style="0" width="18"/>
    <col collapsed="false" customWidth="true" hidden="false" outlineLevel="0" max="11" min="11" style="0" width="12"/>
    <col collapsed="false" customWidth="true" hidden="false" outlineLevel="0" max="12" min="12" style="0" width="55"/>
    <col collapsed="false" customWidth="true" hidden="false" outlineLevel="0" max="13" min="13" style="0" width="12"/>
    <col collapsed="false" customWidth="true" hidden="false" outlineLevel="0" max="14" min="14" style="0" width="55"/>
    <col collapsed="false" customWidth="true" hidden="false" outlineLevel="0" max="15" min="15" style="0" width="12"/>
    <col collapsed="false" customWidth="true" hidden="false" outlineLevel="0" max="16" min="16" style="0" width="55"/>
  </cols>
  <sheetData>
    <row r="1" customFormat="false" ht="30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</row>
    <row r="2" customFormat="false" ht="21.75" hidden="false" customHeight="true" outlineLevel="0" collapsed="false">
      <c r="A2" s="2" t="s">
        <v>16</v>
      </c>
      <c r="B2" s="2" t="s">
        <v>17</v>
      </c>
      <c r="C2" s="2" t="s">
        <v>18</v>
      </c>
      <c r="D2" s="2" t="n">
        <v>3200000</v>
      </c>
      <c r="E2" s="2" t="n">
        <v>3800000</v>
      </c>
      <c r="F2" s="2" t="n">
        <v>50</v>
      </c>
      <c r="G2" s="2" t="s">
        <v>19</v>
      </c>
      <c r="H2" s="3" t="b">
        <f aca="false">TRUE()</f>
        <v>1</v>
      </c>
      <c r="I2" s="3" t="b">
        <f aca="false">TRUE()</f>
        <v>1</v>
      </c>
      <c r="J2" s="2" t="s">
        <v>20</v>
      </c>
      <c r="K2" s="2" t="s">
        <v>21</v>
      </c>
      <c r="L2" s="2" t="s">
        <v>22</v>
      </c>
      <c r="M2" s="2" t="s">
        <v>23</v>
      </c>
      <c r="N2" s="2" t="s">
        <v>24</v>
      </c>
      <c r="O2" s="2" t="s">
        <v>25</v>
      </c>
      <c r="P2" s="2" t="s">
        <v>26</v>
      </c>
    </row>
    <row r="3" customFormat="false" ht="21.75" hidden="false" customHeight="true" outlineLevel="0" collapsed="false">
      <c r="A3" s="4" t="s">
        <v>27</v>
      </c>
      <c r="B3" s="4" t="s">
        <v>28</v>
      </c>
      <c r="C3" s="4" t="s">
        <v>18</v>
      </c>
      <c r="D3" s="4" t="n">
        <v>4500000</v>
      </c>
      <c r="E3" s="4"/>
      <c r="F3" s="4" t="n">
        <v>30</v>
      </c>
      <c r="G3" s="4" t="s">
        <v>29</v>
      </c>
      <c r="H3" s="5" t="b">
        <f aca="false">TRUE()</f>
        <v>1</v>
      </c>
      <c r="I3" s="5" t="b">
        <f aca="false">FALSE()</f>
        <v>0</v>
      </c>
      <c r="J3" s="4" t="s">
        <v>30</v>
      </c>
      <c r="K3" s="4" t="s">
        <v>31</v>
      </c>
      <c r="L3" s="4" t="s">
        <v>32</v>
      </c>
      <c r="M3" s="4" t="s">
        <v>33</v>
      </c>
      <c r="N3" s="4" t="s">
        <v>34</v>
      </c>
      <c r="O3" s="4"/>
      <c r="P3" s="4"/>
    </row>
    <row r="4" customFormat="false" ht="21.75" hidden="false" customHeight="true" outlineLevel="0" collapsed="false">
      <c r="A4" s="2" t="s">
        <v>35</v>
      </c>
      <c r="B4" s="2" t="s">
        <v>17</v>
      </c>
      <c r="C4" s="2" t="s">
        <v>36</v>
      </c>
      <c r="D4" s="2" t="n">
        <v>2800000</v>
      </c>
      <c r="E4" s="2"/>
      <c r="F4" s="2" t="n">
        <v>80</v>
      </c>
      <c r="G4" s="2" t="s">
        <v>37</v>
      </c>
      <c r="H4" s="3" t="b">
        <f aca="false">FALSE()</f>
        <v>0</v>
      </c>
      <c r="I4" s="3" t="b">
        <f aca="false">FALSE()</f>
        <v>0</v>
      </c>
      <c r="J4" s="2" t="s">
        <v>38</v>
      </c>
      <c r="K4" s="2" t="s">
        <v>23</v>
      </c>
      <c r="L4" s="2" t="s">
        <v>39</v>
      </c>
      <c r="M4" s="2" t="s">
        <v>21</v>
      </c>
      <c r="N4" s="2" t="s">
        <v>40</v>
      </c>
      <c r="O4" s="2"/>
      <c r="P4" s="2"/>
    </row>
    <row r="5" customFormat="false" ht="21.75" hidden="false" customHeight="true" outlineLevel="0" collapsed="false">
      <c r="A5" s="4" t="s">
        <v>41</v>
      </c>
      <c r="B5" s="4" t="s">
        <v>42</v>
      </c>
      <c r="C5" s="4" t="s">
        <v>36</v>
      </c>
      <c r="D5" s="4" t="n">
        <v>1800000</v>
      </c>
      <c r="E5" s="4" t="n">
        <v>2200000</v>
      </c>
      <c r="F5" s="4" t="n">
        <v>60</v>
      </c>
      <c r="G5" s="4" t="s">
        <v>43</v>
      </c>
      <c r="H5" s="5" t="b">
        <f aca="false">FALSE()</f>
        <v>0</v>
      </c>
      <c r="I5" s="5" t="b">
        <f aca="false">TRUE()</f>
        <v>1</v>
      </c>
      <c r="J5" s="4" t="s">
        <v>44</v>
      </c>
      <c r="K5" s="4" t="s">
        <v>25</v>
      </c>
      <c r="L5" s="4" t="s">
        <v>45</v>
      </c>
      <c r="M5" s="4" t="s">
        <v>46</v>
      </c>
      <c r="N5" s="4" t="s">
        <v>47</v>
      </c>
      <c r="O5" s="4" t="s">
        <v>23</v>
      </c>
      <c r="P5" s="4" t="s">
        <v>48</v>
      </c>
    </row>
    <row r="6" customFormat="false" ht="21.75" hidden="false" customHeight="true" outlineLevel="0" collapsed="false">
      <c r="A6" s="2" t="s">
        <v>49</v>
      </c>
      <c r="B6" s="2" t="s">
        <v>50</v>
      </c>
      <c r="C6" s="2" t="s">
        <v>18</v>
      </c>
      <c r="D6" s="2" t="n">
        <v>2500000</v>
      </c>
      <c r="E6" s="2" t="n">
        <v>3000000</v>
      </c>
      <c r="F6" s="2" t="n">
        <v>40</v>
      </c>
      <c r="G6" s="2" t="s">
        <v>51</v>
      </c>
      <c r="H6" s="3" t="b">
        <f aca="false">TRUE()</f>
        <v>1</v>
      </c>
      <c r="I6" s="3" t="b">
        <f aca="false">TRUE()</f>
        <v>1</v>
      </c>
      <c r="J6" s="2" t="s">
        <v>20</v>
      </c>
      <c r="K6" s="2" t="s">
        <v>52</v>
      </c>
      <c r="L6" s="2" t="s">
        <v>53</v>
      </c>
      <c r="M6" s="2" t="s">
        <v>54</v>
      </c>
      <c r="N6" s="2" t="s">
        <v>55</v>
      </c>
      <c r="O6" s="2"/>
      <c r="P6" s="2"/>
    </row>
    <row r="7" customFormat="false" ht="21.75" hidden="false" customHeight="true" outlineLevel="0" collapsed="false">
      <c r="A7" s="4" t="s">
        <v>56</v>
      </c>
      <c r="B7" s="4" t="s">
        <v>57</v>
      </c>
      <c r="C7" s="4" t="s">
        <v>58</v>
      </c>
      <c r="D7" s="4" t="n">
        <v>2200000</v>
      </c>
      <c r="E7" s="4"/>
      <c r="F7" s="4" t="n">
        <v>45</v>
      </c>
      <c r="G7" s="4" t="s">
        <v>59</v>
      </c>
      <c r="H7" s="5" t="b">
        <f aca="false">FALSE()</f>
        <v>0</v>
      </c>
      <c r="I7" s="5" t="b">
        <f aca="false">FALSE()</f>
        <v>0</v>
      </c>
      <c r="J7" s="4" t="s">
        <v>60</v>
      </c>
      <c r="K7" s="4" t="s">
        <v>61</v>
      </c>
      <c r="L7" s="4" t="s">
        <v>62</v>
      </c>
      <c r="M7" s="4" t="s">
        <v>63</v>
      </c>
      <c r="N7" s="4" t="s">
        <v>64</v>
      </c>
      <c r="O7" s="4"/>
      <c r="P7" s="4"/>
    </row>
    <row r="8" customFormat="false" ht="21.75" hidden="false" customHeight="true" outlineLevel="0" collapsed="false">
      <c r="A8" s="2" t="s">
        <v>65</v>
      </c>
      <c r="B8" s="2" t="s">
        <v>66</v>
      </c>
      <c r="C8" s="2" t="s">
        <v>36</v>
      </c>
      <c r="D8" s="2" t="n">
        <v>1600000</v>
      </c>
      <c r="E8" s="2" t="n">
        <v>1900000</v>
      </c>
      <c r="F8" s="2" t="n">
        <v>70</v>
      </c>
      <c r="G8" s="2" t="s">
        <v>67</v>
      </c>
      <c r="H8" s="3" t="b">
        <f aca="false">FALSE()</f>
        <v>0</v>
      </c>
      <c r="I8" s="3" t="b">
        <f aca="false">TRUE()</f>
        <v>1</v>
      </c>
      <c r="J8" s="2" t="s">
        <v>68</v>
      </c>
      <c r="K8" s="2" t="s">
        <v>69</v>
      </c>
      <c r="L8" s="2" t="s">
        <v>70</v>
      </c>
      <c r="M8" s="2" t="s">
        <v>71</v>
      </c>
      <c r="N8" s="2" t="s">
        <v>72</v>
      </c>
      <c r="O8" s="2"/>
      <c r="P8" s="2"/>
    </row>
    <row r="9" customFormat="false" ht="21.75" hidden="false" customHeight="true" outlineLevel="0" collapsed="false">
      <c r="A9" s="4" t="s">
        <v>73</v>
      </c>
      <c r="B9" s="4" t="s">
        <v>28</v>
      </c>
      <c r="C9" s="4" t="s">
        <v>58</v>
      </c>
      <c r="D9" s="4" t="n">
        <v>2100000</v>
      </c>
      <c r="E9" s="4"/>
      <c r="F9" s="4" t="n">
        <v>55</v>
      </c>
      <c r="G9" s="4" t="s">
        <v>74</v>
      </c>
      <c r="H9" s="5" t="b">
        <f aca="false">FALSE()</f>
        <v>0</v>
      </c>
      <c r="I9" s="5" t="b">
        <f aca="false">FALSE()</f>
        <v>0</v>
      </c>
      <c r="J9" s="4" t="s">
        <v>60</v>
      </c>
      <c r="K9" s="4" t="s">
        <v>75</v>
      </c>
      <c r="L9" s="4" t="s">
        <v>76</v>
      </c>
      <c r="M9" s="4" t="s">
        <v>77</v>
      </c>
      <c r="N9" s="4" t="s">
        <v>22</v>
      </c>
      <c r="O9" s="4"/>
      <c r="P9" s="4"/>
    </row>
    <row r="10" customFormat="false" ht="21.75" hidden="false" customHeight="true" outlineLevel="0" collapsed="false">
      <c r="A10" s="2" t="s">
        <v>78</v>
      </c>
      <c r="B10" s="2" t="s">
        <v>17</v>
      </c>
      <c r="C10" s="2" t="s">
        <v>58</v>
      </c>
      <c r="D10" s="2" t="n">
        <v>3500000</v>
      </c>
      <c r="E10" s="2" t="n">
        <v>4200000</v>
      </c>
      <c r="F10" s="2" t="n">
        <v>25</v>
      </c>
      <c r="G10" s="2" t="s">
        <v>79</v>
      </c>
      <c r="H10" s="3" t="b">
        <f aca="false">TRUE()</f>
        <v>1</v>
      </c>
      <c r="I10" s="3" t="b">
        <f aca="false">TRUE()</f>
        <v>1</v>
      </c>
      <c r="J10" s="2" t="s">
        <v>60</v>
      </c>
      <c r="K10" s="2" t="s">
        <v>80</v>
      </c>
      <c r="L10" s="2" t="s">
        <v>81</v>
      </c>
      <c r="M10" s="2" t="s">
        <v>82</v>
      </c>
      <c r="N10" s="2" t="s">
        <v>83</v>
      </c>
      <c r="O10" s="2"/>
      <c r="P10" s="2"/>
    </row>
    <row r="11" customFormat="false" ht="21.75" hidden="false" customHeight="true" outlineLevel="0" collapsed="false">
      <c r="A11" s="4" t="s">
        <v>84</v>
      </c>
      <c r="B11" s="4" t="s">
        <v>85</v>
      </c>
      <c r="C11" s="4" t="s">
        <v>18</v>
      </c>
      <c r="D11" s="4" t="n">
        <v>1900000</v>
      </c>
      <c r="E11" s="4" t="n">
        <v>2400000</v>
      </c>
      <c r="F11" s="4" t="n">
        <v>35</v>
      </c>
      <c r="G11" s="4" t="s">
        <v>86</v>
      </c>
      <c r="H11" s="5" t="b">
        <f aca="false">FALSE()</f>
        <v>0</v>
      </c>
      <c r="I11" s="5" t="b">
        <f aca="false">TRUE()</f>
        <v>1</v>
      </c>
      <c r="J11" s="4" t="s">
        <v>30</v>
      </c>
      <c r="K11" s="4" t="s">
        <v>23</v>
      </c>
      <c r="L11" s="4" t="s">
        <v>87</v>
      </c>
      <c r="M11" s="4" t="s">
        <v>88</v>
      </c>
      <c r="N11" s="4" t="s">
        <v>89</v>
      </c>
      <c r="O11" s="4"/>
      <c r="P11" s="4"/>
    </row>
  </sheetData>
  <autoFilter ref="A1:P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6"/>
    <col collapsed="false" customWidth="true" hidden="false" outlineLevel="0" max="3" min="3" style="0" width="45"/>
    <col collapsed="false" customWidth="true" hidden="false" outlineLevel="0" max="4" min="4" style="0" width="25"/>
    <col collapsed="false" customWidth="true" hidden="false" outlineLevel="0" max="5" min="5" style="0" width="12"/>
  </cols>
  <sheetData>
    <row r="1" customFormat="false" ht="19.5" hidden="false" customHeight="true" outlineLevel="0" collapsed="false">
      <c r="A1" s="6" t="s">
        <v>90</v>
      </c>
      <c r="B1" s="6" t="s">
        <v>91</v>
      </c>
      <c r="C1" s="6" t="s">
        <v>92</v>
      </c>
      <c r="D1" s="6" t="s">
        <v>93</v>
      </c>
      <c r="E1" s="6" t="s">
        <v>94</v>
      </c>
    </row>
    <row r="2" customFormat="false" ht="19.5" hidden="false" customHeight="true" outlineLevel="0" collapsed="false">
      <c r="A2" s="7" t="s">
        <v>95</v>
      </c>
      <c r="B2" s="7" t="s">
        <v>0</v>
      </c>
      <c r="C2" s="7" t="s">
        <v>96</v>
      </c>
      <c r="D2" s="7" t="s">
        <v>16</v>
      </c>
      <c r="E2" s="7" t="s">
        <v>97</v>
      </c>
    </row>
    <row r="3" customFormat="false" ht="19.5" hidden="false" customHeight="true" outlineLevel="0" collapsed="false">
      <c r="A3" s="7" t="s">
        <v>98</v>
      </c>
      <c r="B3" s="7" t="s">
        <v>1</v>
      </c>
      <c r="C3" s="7" t="s">
        <v>99</v>
      </c>
      <c r="D3" s="7" t="s">
        <v>17</v>
      </c>
      <c r="E3" s="7" t="s">
        <v>97</v>
      </c>
    </row>
    <row r="4" customFormat="false" ht="19.5" hidden="false" customHeight="true" outlineLevel="0" collapsed="false">
      <c r="A4" s="7" t="s">
        <v>100</v>
      </c>
      <c r="B4" s="7" t="s">
        <v>2</v>
      </c>
      <c r="C4" s="7" t="s">
        <v>101</v>
      </c>
      <c r="D4" s="7" t="s">
        <v>18</v>
      </c>
      <c r="E4" s="7" t="s">
        <v>97</v>
      </c>
    </row>
    <row r="5" customFormat="false" ht="19.5" hidden="false" customHeight="true" outlineLevel="0" collapsed="false">
      <c r="A5" s="7" t="s">
        <v>102</v>
      </c>
      <c r="B5" s="7" t="s">
        <v>3</v>
      </c>
      <c r="C5" s="7" t="s">
        <v>103</v>
      </c>
      <c r="D5" s="7" t="s">
        <v>104</v>
      </c>
      <c r="E5" s="7" t="s">
        <v>97</v>
      </c>
    </row>
    <row r="6" customFormat="false" ht="19.5" hidden="false" customHeight="true" outlineLevel="0" collapsed="false">
      <c r="A6" s="7" t="s">
        <v>105</v>
      </c>
      <c r="B6" s="7" t="s">
        <v>4</v>
      </c>
      <c r="C6" s="7" t="s">
        <v>106</v>
      </c>
      <c r="D6" s="7" t="s">
        <v>107</v>
      </c>
      <c r="E6" s="7" t="s">
        <v>108</v>
      </c>
    </row>
    <row r="7" customFormat="false" ht="19.5" hidden="false" customHeight="true" outlineLevel="0" collapsed="false">
      <c r="A7" s="7" t="s">
        <v>109</v>
      </c>
      <c r="B7" s="7" t="s">
        <v>5</v>
      </c>
      <c r="C7" s="7" t="s">
        <v>110</v>
      </c>
      <c r="D7" s="7" t="s">
        <v>111</v>
      </c>
      <c r="E7" s="7" t="s">
        <v>97</v>
      </c>
    </row>
    <row r="8" customFormat="false" ht="19.5" hidden="false" customHeight="true" outlineLevel="0" collapsed="false">
      <c r="A8" s="7" t="s">
        <v>112</v>
      </c>
      <c r="B8" s="7" t="s">
        <v>6</v>
      </c>
      <c r="C8" s="7" t="s">
        <v>113</v>
      </c>
      <c r="D8" s="7" t="s">
        <v>114</v>
      </c>
      <c r="E8" s="7" t="s">
        <v>108</v>
      </c>
    </row>
    <row r="9" customFormat="false" ht="19.5" hidden="false" customHeight="true" outlineLevel="0" collapsed="false">
      <c r="A9" s="7" t="s">
        <v>115</v>
      </c>
      <c r="B9" s="7" t="s">
        <v>7</v>
      </c>
      <c r="C9" s="7" t="s">
        <v>116</v>
      </c>
      <c r="D9" s="7" t="s">
        <v>117</v>
      </c>
      <c r="E9" s="7" t="s">
        <v>108</v>
      </c>
    </row>
    <row r="10" customFormat="false" ht="19.5" hidden="false" customHeight="true" outlineLevel="0" collapsed="false">
      <c r="A10" s="7" t="s">
        <v>118</v>
      </c>
      <c r="B10" s="7" t="s">
        <v>8</v>
      </c>
      <c r="C10" s="7" t="s">
        <v>119</v>
      </c>
      <c r="D10" s="7" t="s">
        <v>120</v>
      </c>
      <c r="E10" s="7" t="s">
        <v>108</v>
      </c>
    </row>
    <row r="11" customFormat="false" ht="19.5" hidden="false" customHeight="true" outlineLevel="0" collapsed="false">
      <c r="A11" s="7" t="s">
        <v>121</v>
      </c>
      <c r="B11" s="7" t="s">
        <v>9</v>
      </c>
      <c r="C11" s="7" t="s">
        <v>122</v>
      </c>
      <c r="D11" s="7" t="s">
        <v>123</v>
      </c>
      <c r="E11" s="7" t="s">
        <v>108</v>
      </c>
    </row>
    <row r="12" customFormat="false" ht="19.5" hidden="false" customHeight="true" outlineLevel="0" collapsed="false">
      <c r="A12" s="7" t="s">
        <v>124</v>
      </c>
      <c r="B12" s="7" t="s">
        <v>10</v>
      </c>
      <c r="C12" s="7" t="s">
        <v>125</v>
      </c>
      <c r="D12" s="7" t="s">
        <v>21</v>
      </c>
      <c r="E12" s="7" t="s">
        <v>126</v>
      </c>
    </row>
    <row r="13" customFormat="false" ht="19.5" hidden="false" customHeight="true" outlineLevel="0" collapsed="false">
      <c r="A13" s="7" t="s">
        <v>127</v>
      </c>
      <c r="B13" s="7" t="s">
        <v>11</v>
      </c>
      <c r="C13" s="7" t="s">
        <v>128</v>
      </c>
      <c r="D13" s="7" t="s">
        <v>129</v>
      </c>
      <c r="E13" s="7" t="s">
        <v>126</v>
      </c>
    </row>
    <row r="14" customFormat="false" ht="19.5" hidden="false" customHeight="true" outlineLevel="0" collapsed="false">
      <c r="A14" s="7" t="s">
        <v>130</v>
      </c>
      <c r="B14" s="7" t="s">
        <v>12</v>
      </c>
      <c r="C14" s="7" t="s">
        <v>131</v>
      </c>
      <c r="D14" s="7" t="s">
        <v>23</v>
      </c>
      <c r="E14" s="7" t="s">
        <v>108</v>
      </c>
    </row>
    <row r="15" customFormat="false" ht="19.5" hidden="false" customHeight="true" outlineLevel="0" collapsed="false">
      <c r="A15" s="7" t="s">
        <v>132</v>
      </c>
      <c r="B15" s="7" t="s">
        <v>13</v>
      </c>
      <c r="C15" s="7" t="s">
        <v>133</v>
      </c>
      <c r="D15" s="7" t="s">
        <v>129</v>
      </c>
      <c r="E15" s="7" t="s">
        <v>108</v>
      </c>
    </row>
    <row r="16" customFormat="false" ht="19.5" hidden="false" customHeight="true" outlineLevel="0" collapsed="false">
      <c r="A16" s="7" t="s">
        <v>134</v>
      </c>
      <c r="B16" s="7" t="s">
        <v>14</v>
      </c>
      <c r="C16" s="7" t="s">
        <v>135</v>
      </c>
      <c r="D16" s="7" t="s">
        <v>25</v>
      </c>
      <c r="E16" s="7" t="s">
        <v>108</v>
      </c>
    </row>
    <row r="17" customFormat="false" ht="19.5" hidden="false" customHeight="true" outlineLevel="0" collapsed="false">
      <c r="A17" s="7" t="s">
        <v>136</v>
      </c>
      <c r="B17" s="7" t="s">
        <v>15</v>
      </c>
      <c r="C17" s="7" t="s">
        <v>137</v>
      </c>
      <c r="D17" s="7" t="s">
        <v>129</v>
      </c>
      <c r="E17" s="7" t="s">
        <v>108</v>
      </c>
    </row>
    <row r="18" customFormat="false" ht="19.5" hidden="false" customHeight="true" outlineLevel="0" collapsed="false">
      <c r="A18" s="7"/>
      <c r="B18" s="7"/>
      <c r="C18" s="7"/>
      <c r="D18" s="7"/>
      <c r="E18" s="7"/>
    </row>
    <row r="19" customFormat="false" ht="19.5" hidden="false" customHeight="true" outlineLevel="0" collapsed="false">
      <c r="A19" s="8" t="s">
        <v>138</v>
      </c>
      <c r="B19" s="8"/>
      <c r="C19" s="8"/>
      <c r="D19" s="8"/>
      <c r="E19" s="8"/>
    </row>
    <row r="20" customFormat="false" ht="19.5" hidden="false" customHeight="true" outlineLevel="0" collapsed="false">
      <c r="A20" s="7"/>
      <c r="B20" s="7" t="s">
        <v>139</v>
      </c>
      <c r="C20" s="7"/>
      <c r="D20" s="7"/>
      <c r="E20" s="7"/>
    </row>
    <row r="21" customFormat="false" ht="19.5" hidden="false" customHeight="true" outlineLevel="0" collapsed="false">
      <c r="A21" s="7"/>
      <c r="B21" s="7" t="s">
        <v>140</v>
      </c>
      <c r="C21" s="7"/>
      <c r="D21" s="7"/>
      <c r="E21" s="7"/>
    </row>
    <row r="22" customFormat="false" ht="19.5" hidden="false" customHeight="true" outlineLevel="0" collapsed="false">
      <c r="A22" s="7"/>
      <c r="B22" s="7" t="s">
        <v>141</v>
      </c>
      <c r="C22" s="7"/>
      <c r="D22" s="7"/>
      <c r="E22" s="7"/>
    </row>
    <row r="23" customFormat="false" ht="19.5" hidden="false" customHeight="true" outlineLevel="0" collapsed="false">
      <c r="A23" s="7"/>
      <c r="B23" s="7" t="s">
        <v>142</v>
      </c>
      <c r="C23" s="7"/>
      <c r="D23" s="7"/>
      <c r="E23" s="7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2026-06-03T11:59:47Z</dcterms:created>
  <dc:creator>openpyxl</dc:creator>
  <dc:description/>
  <dc:language>en-US</dc:language>
  <cp:lastModifiedBy/>
  <dcterms:modified xsi:type="dcterms:W3CDTF">2026-06-03T11:59:47Z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